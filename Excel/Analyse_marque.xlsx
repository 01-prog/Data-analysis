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rie\Documents\Telecom\Telecom Obsidian\2eme année\1 - Data analysis in economics Collection and Visualization\project\Excel\"/>
    </mc:Choice>
  </mc:AlternateContent>
  <xr:revisionPtr revIDLastSave="0" documentId="8_{BDD4F1AD-2284-49BA-9982-F9A850C893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2" i="1"/>
  <c r="K4" i="1" a="1"/>
  <c r="K4" i="1" s="1"/>
  <c r="L4" i="1" a="1"/>
  <c r="L4" i="1" s="1"/>
  <c r="M4" i="1" a="1"/>
  <c r="M4" i="1" s="1"/>
  <c r="K3" i="1" a="1"/>
  <c r="K3" i="1" s="1"/>
  <c r="L3" i="1" a="1"/>
  <c r="L3" i="1" s="1"/>
  <c r="M3" i="1" a="1"/>
  <c r="M3" i="1" s="1"/>
  <c r="K6" i="1" a="1"/>
  <c r="K6" i="1" s="1"/>
  <c r="L6" i="1" a="1"/>
  <c r="L6" i="1" s="1"/>
  <c r="M6" i="1" a="1"/>
  <c r="M6" i="1" s="1"/>
  <c r="K5" i="1" a="1"/>
  <c r="K5" i="1" s="1"/>
  <c r="L5" i="1" a="1"/>
  <c r="L5" i="1" s="1"/>
  <c r="M5" i="1" a="1"/>
  <c r="M5" i="1" s="1"/>
  <c r="K2" i="1" a="1"/>
  <c r="K2" i="1" s="1"/>
  <c r="L2" i="1" a="1"/>
  <c r="L2" i="1" s="1"/>
  <c r="M2" i="1" a="1"/>
  <c r="M2" i="1" s="1"/>
  <c r="J3" i="1" a="1"/>
  <c r="J3" i="1" s="1"/>
  <c r="J6" i="1" a="1"/>
  <c r="J6" i="1" s="1"/>
  <c r="J5" i="1" a="1"/>
  <c r="J5" i="1" s="1"/>
  <c r="J2" i="1" a="1"/>
  <c r="J2" i="1" s="1"/>
  <c r="J4" i="1" a="1"/>
  <c r="J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<sst xmlns="http://schemas.openxmlformats.org/spreadsheetml/2006/main" count="287" uniqueCount="75">
  <si>
    <t>brand</t>
  </si>
  <si>
    <t>female_price</t>
  </si>
  <si>
    <t>male_price</t>
  </si>
  <si>
    <t>price_diff_eur</t>
  </si>
  <si>
    <t>price_diff_pct</t>
  </si>
  <si>
    <t>ASOS</t>
  </si>
  <si>
    <t>shoes</t>
  </si>
  <si>
    <t>Arena</t>
  </si>
  <si>
    <t>swimwear</t>
  </si>
  <si>
    <t>Asics</t>
  </si>
  <si>
    <t>Bershka</t>
  </si>
  <si>
    <t>jeans</t>
  </si>
  <si>
    <t>shorts</t>
  </si>
  <si>
    <t>trousers</t>
  </si>
  <si>
    <t>Birkenstock</t>
  </si>
  <si>
    <t>Clarks</t>
  </si>
  <si>
    <t>Converse</t>
  </si>
  <si>
    <t>Crocs</t>
  </si>
  <si>
    <t>Dr. Martens</t>
  </si>
  <si>
    <t>Geox</t>
  </si>
  <si>
    <t>Gucci</t>
  </si>
  <si>
    <t>Gymshark</t>
  </si>
  <si>
    <t>activewear</t>
  </si>
  <si>
    <t>H&amp;M</t>
  </si>
  <si>
    <t>suits and blazers</t>
  </si>
  <si>
    <t>t-shirts</t>
  </si>
  <si>
    <t>Havaianas</t>
  </si>
  <si>
    <t>Hoka</t>
  </si>
  <si>
    <t>Jordan</t>
  </si>
  <si>
    <t>Levi's</t>
  </si>
  <si>
    <t>Local</t>
  </si>
  <si>
    <t>Marks &amp; Spencer</t>
  </si>
  <si>
    <t>New Balance</t>
  </si>
  <si>
    <t>Next</t>
  </si>
  <si>
    <t>Nike</t>
  </si>
  <si>
    <t>Nike Air</t>
  </si>
  <si>
    <t>Primark</t>
  </si>
  <si>
    <t>Pull &amp; Bear</t>
  </si>
  <si>
    <t>Puma</t>
  </si>
  <si>
    <t>Ralph Lauren</t>
  </si>
  <si>
    <t>jumpers</t>
  </si>
  <si>
    <t>Salomon</t>
  </si>
  <si>
    <t>Skechers</t>
  </si>
  <si>
    <t>Sonstiges</t>
  </si>
  <si>
    <t>special outfits</t>
  </si>
  <si>
    <t>The North Face</t>
  </si>
  <si>
    <t>outerwear</t>
  </si>
  <si>
    <t>Timberland</t>
  </si>
  <si>
    <t>Tommy Hilfiger</t>
  </si>
  <si>
    <t>Toms</t>
  </si>
  <si>
    <t>UGG</t>
  </si>
  <si>
    <t>Vans</t>
  </si>
  <si>
    <t>Vera Pelle</t>
  </si>
  <si>
    <t>Vintage Dressing</t>
  </si>
  <si>
    <t>Zara</t>
  </si>
  <si>
    <t>adidas</t>
  </si>
  <si>
    <t>AVERAGE</t>
  </si>
  <si>
    <t>category</t>
  </si>
  <si>
    <t>Sport</t>
  </si>
  <si>
    <t>Premium</t>
  </si>
  <si>
    <t>Catégorie</t>
  </si>
  <si>
    <t>mass market</t>
  </si>
  <si>
    <t>sport</t>
  </si>
  <si>
    <t>premium</t>
  </si>
  <si>
    <t>luxury</t>
  </si>
  <si>
    <t>discount</t>
  </si>
  <si>
    <t>Vintage Dress</t>
  </si>
  <si>
    <t>Luxury</t>
  </si>
  <si>
    <t>Mass Market</t>
  </si>
  <si>
    <t>Discount</t>
  </si>
  <si>
    <t>Marque</t>
  </si>
  <si>
    <t>Mass market</t>
  </si>
  <si>
    <t>Nike / Nike Air</t>
  </si>
  <si>
    <r>
      <t>Sonstiges</t>
    </r>
    <r>
      <rPr>
        <sz val="11"/>
        <color rgb="FF1F1F1F"/>
        <rFont val="Arial"/>
        <family val="2"/>
      </rPr>
      <t xml:space="preserve"> (Divers)</t>
    </r>
  </si>
  <si>
    <t>Price difference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</si>
</sst>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Price difference (€)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Sheet1!$I$2:$I$6</c:f>
              <c:strCache>
                <c:ptCount val="5"/>
                <c:pt idx="0">
                  <c:v>Sport</c:v>
                </c:pt>
                <c:pt idx="1">
                  <c:v>Premium</c:v>
                </c:pt>
                <c:pt idx="2">
                  <c:v>Luxury</c:v>
                </c:pt>
                <c:pt idx="3">
                  <c:v>Discount</c:v>
                </c:pt>
                <c:pt idx="4">
                  <c:v>Mass Market</c:v>
                </c:pt>
              </c:strCache>
            </c:strRef>
          </c:cat>
          <c:val>
            <c:numRef>
              <c:f>Sheet1!$N$2:$N$6</c:f>
              <c:numCache>
                <c:formatCode>0.00</c:formatCode>
                <c:ptCount val="5"/>
                <c:pt idx="0">
                  <c:v>10.355000000000002</c:v>
                </c:pt>
                <c:pt idx="1">
                  <c:v>8.0141666666666662</c:v>
                </c:pt>
                <c:pt idx="2">
                  <c:v>7.56</c:v>
                </c:pt>
                <c:pt idx="3">
                  <c:v>1.1200000000000001</c:v>
                </c:pt>
                <c:pt idx="4">
                  <c:v>0.94806451612903231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0-4B1A-8710-87A916128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33407"/>
        <c:axId val="172938687"/>
      </c:barChart>
      <c:catAx>
        <c:axId val="17293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938687"/>
        <c:crosses val="autoZero"/>
        <c:auto val="1"/>
        <c:lblAlgn val="ctr"/>
        <c:lblOffset val="100"/>
        <c:noMultiLvlLbl val="0"/>
      </c:catAx>
      <c:valAx>
        <c:axId val="17293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93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119810</xdr:colOff>
      <xdr:row>7</xdr:row>
      <xdr:rowOff>140305</xdr:rowOff>
    </xdr:from>
    <xdr:to>
      <xdr:col>15</xdr:col>
      <xdr:colOff>119810</xdr:colOff>
      <xdr:row>22</xdr:row>
      <xdr:rowOff>162076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D78391-1839-5628-6AE0-3C6ED062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"/>
  <sheetViews>
    <sheetView tabSelected="1" topLeftCell="E1" zoomScale="53" workbookViewId="0">
      <selection activeCell="R26" sqref="R26"/>
    </sheetView>
  </sheetViews>
  <sheetFormatPr baseColWidth="10" defaultColWidth="8.7265625" defaultRowHeight="14.5" x14ac:dyDescent="0.35"/>
  <cols>
    <col min="1" max="1" width="10.54296875" customWidth="1"/>
    <col min="2" max="2" width="15.1796875" customWidth="1"/>
    <col min="3" max="3" width="15.26953125" bestFit="1" customWidth="1"/>
    <col min="4" max="4" width="13.1796875" bestFit="1" customWidth="1"/>
    <col min="5" max="5" width="16.7265625" bestFit="1" customWidth="1"/>
    <col min="6" max="6" width="16.54296875" bestFit="1" customWidth="1"/>
    <col min="7" max="7" width="15.36328125" customWidth="1"/>
    <col min="8" max="8" width="16.26953125" customWidth="1"/>
    <col min="9" max="9" width="12.6328125" bestFit="1" customWidth="1"/>
    <col min="10" max="10" width="11.6328125" bestFit="1" customWidth="1"/>
    <col min="11" max="11" width="10.08984375" bestFit="1" customWidth="1"/>
    <col min="12" max="12" width="12.6328125" customWidth="1"/>
    <col min="13" max="13" width="12.81640625" bestFit="1" customWidth="1"/>
    <col min="14" max="14" width="16.7265625" bestFit="1" customWidth="1"/>
    <col min="17" max="17" width="16.08984375" bestFit="1" customWidth="1"/>
    <col min="18" max="18" width="11.81640625" bestFit="1" customWidth="1"/>
  </cols>
  <sheetData>
    <row r="1" spans="1:24" x14ac:dyDescent="0.35">
      <c r="A1" s="1" t="s">
        <v>0</v>
      </c>
      <c r="B1" s="1" t="s">
        <v>57</v>
      </c>
      <c r="C1" s="3" t="s">
        <v>1</v>
      </c>
      <c r="D1" s="3" t="s">
        <v>2</v>
      </c>
      <c r="E1" s="3" t="s">
        <v>3</v>
      </c>
      <c r="F1" s="3" t="s">
        <v>4</v>
      </c>
      <c r="G1" s="1" t="s">
        <v>60</v>
      </c>
      <c r="J1" t="s">
        <v>1</v>
      </c>
      <c r="K1" t="s">
        <v>2</v>
      </c>
      <c r="L1" t="s">
        <v>3</v>
      </c>
      <c r="M1" t="s">
        <v>4</v>
      </c>
      <c r="N1" t="s">
        <v>74</v>
      </c>
    </row>
    <row r="2" spans="1:24" x14ac:dyDescent="0.35">
      <c r="A2" t="s">
        <v>5</v>
      </c>
      <c r="B2" t="s">
        <v>6</v>
      </c>
      <c r="C2">
        <v>12.8</v>
      </c>
      <c r="D2">
        <v>17.670000000000002</v>
      </c>
      <c r="E2">
        <v>-4.87</v>
      </c>
      <c r="F2">
        <v>-27.56</v>
      </c>
      <c r="G2" t="s">
        <v>61</v>
      </c>
      <c r="I2" t="s">
        <v>58</v>
      </c>
      <c r="J2" s="4" cm="1">
        <f t="array" ref="J2" xml:space="preserve"> AVERAGE(_xlfn._xlws.FILTER(C:C,$G:$G=$I2))</f>
        <v>35.845000000000006</v>
      </c>
      <c r="K2" s="4" cm="1">
        <f t="array" ref="K2" xml:space="preserve"> AVERAGE(_xlfn._xlws.FILTER(D:D,$G:$G=$I2))</f>
        <v>46.20000000000001</v>
      </c>
      <c r="L2" s="4" cm="1">
        <f t="array" ref="L2" xml:space="preserve"> AVERAGE(_xlfn._xlws.FILTER(E:E,$G:$G=$I2))</f>
        <v>-10.355000000000002</v>
      </c>
      <c r="M2" s="4" cm="1">
        <f t="array" ref="M2" xml:space="preserve"> AVERAGE(_xlfn._xlws.FILTER(F:F,$G:$G=$I2))</f>
        <v>-21.588888888888889</v>
      </c>
      <c r="N2" s="4">
        <f>- L2</f>
        <v>10.355000000000002</v>
      </c>
    </row>
    <row r="3" spans="1:24" x14ac:dyDescent="0.35">
      <c r="A3" t="s">
        <v>7</v>
      </c>
      <c r="B3" t="s">
        <v>8</v>
      </c>
      <c r="C3">
        <v>19.57</v>
      </c>
      <c r="D3">
        <v>21.15</v>
      </c>
      <c r="E3">
        <v>-1.58</v>
      </c>
      <c r="F3">
        <v>-7.47</v>
      </c>
      <c r="G3" t="s">
        <v>62</v>
      </c>
      <c r="I3" t="s">
        <v>59</v>
      </c>
      <c r="J3" s="4" cm="1">
        <f t="array" ref="J3" xml:space="preserve"> AVERAGE(_xlfn._xlws.FILTER(C:C,$G:$G=$I3))</f>
        <v>41.927500000000002</v>
      </c>
      <c r="K3" s="4" cm="1">
        <f t="array" ref="K3" xml:space="preserve"> AVERAGE(_xlfn._xlws.FILTER(D:D,$G:$G=$I3))</f>
        <v>49.94166666666667</v>
      </c>
      <c r="L3" s="4" cm="1">
        <f t="array" ref="L3" xml:space="preserve"> AVERAGE(_xlfn._xlws.FILTER(E:E,$G:$G=$I3))</f>
        <v>-8.0141666666666662</v>
      </c>
      <c r="M3" s="4" cm="1">
        <f t="array" ref="M3" xml:space="preserve"> AVERAGE(_xlfn._xlws.FILTER(F:F,$G:$G=$I3))</f>
        <v>-15.234999999999999</v>
      </c>
      <c r="N3" s="4">
        <f t="shared" ref="N3:N6" si="0">- L3</f>
        <v>8.0141666666666662</v>
      </c>
    </row>
    <row r="4" spans="1:24" x14ac:dyDescent="0.35">
      <c r="A4" t="s">
        <v>9</v>
      </c>
      <c r="B4" t="s">
        <v>6</v>
      </c>
      <c r="C4">
        <v>54.64</v>
      </c>
      <c r="D4">
        <v>62.67</v>
      </c>
      <c r="E4">
        <v>-8.0299999999999994</v>
      </c>
      <c r="F4">
        <v>-12.81</v>
      </c>
      <c r="G4" t="s">
        <v>62</v>
      </c>
      <c r="I4" t="s">
        <v>67</v>
      </c>
      <c r="J4" s="4" cm="1">
        <f t="array" ref="J4" xml:space="preserve"> AVERAGE(_xlfn._xlws.FILTER(C:C,$G:$G=$I4))</f>
        <v>215.36</v>
      </c>
      <c r="K4" s="4" cm="1">
        <f t="array" ref="K4" xml:space="preserve"> AVERAGE(_xlfn._xlws.FILTER(D:D,$G:$G=$I4))</f>
        <v>222.92</v>
      </c>
      <c r="L4" s="4" cm="1">
        <f t="array" ref="L4" xml:space="preserve"> AVERAGE(_xlfn._xlws.FILTER(E:E,$G:$G=$I4))</f>
        <v>-7.56</v>
      </c>
      <c r="M4" s="4" cm="1">
        <f t="array" ref="M4" xml:space="preserve"> AVERAGE(_xlfn._xlws.FILTER(F:F,$G:$G=$I4))</f>
        <v>-3.39</v>
      </c>
      <c r="N4" s="4">
        <f t="shared" si="0"/>
        <v>7.56</v>
      </c>
    </row>
    <row r="5" spans="1:24" x14ac:dyDescent="0.35">
      <c r="A5" t="s">
        <v>10</v>
      </c>
      <c r="B5" t="s">
        <v>11</v>
      </c>
      <c r="C5">
        <v>8.83</v>
      </c>
      <c r="D5">
        <v>10.94</v>
      </c>
      <c r="E5">
        <v>-2.11</v>
      </c>
      <c r="F5">
        <v>-19.29</v>
      </c>
      <c r="G5" t="s">
        <v>61</v>
      </c>
      <c r="I5" t="s">
        <v>69</v>
      </c>
      <c r="J5" s="4" cm="1">
        <f t="array" ref="J5" xml:space="preserve"> AVERAGE(_xlfn._xlws.FILTER(C:C,$G:$G=$I5))</f>
        <v>5.76</v>
      </c>
      <c r="K5" s="4" cm="1">
        <f t="array" ref="K5" xml:space="preserve"> AVERAGE(_xlfn._xlws.FILTER(D:D,$G:$G=$I5))</f>
        <v>6.88</v>
      </c>
      <c r="L5" s="4" cm="1">
        <f t="array" ref="L5" xml:space="preserve"> AVERAGE(_xlfn._xlws.FILTER(E:E,$G:$G=$I5))</f>
        <v>-1.1200000000000001</v>
      </c>
      <c r="M5" s="4" cm="1">
        <f t="array" ref="M5" xml:space="preserve"> AVERAGE(_xlfn._xlws.FILTER(F:F,$G:$G=$I5))</f>
        <v>-16.28</v>
      </c>
      <c r="N5" s="4">
        <f t="shared" si="0"/>
        <v>1.1200000000000001</v>
      </c>
      <c r="Q5" s="2" t="s">
        <v>70</v>
      </c>
      <c r="R5" s="2" t="s">
        <v>60</v>
      </c>
      <c r="S5" t="s">
        <v>19</v>
      </c>
      <c r="T5" t="s">
        <v>59</v>
      </c>
      <c r="U5" t="s">
        <v>32</v>
      </c>
      <c r="V5" t="s">
        <v>58</v>
      </c>
      <c r="W5" t="s">
        <v>73</v>
      </c>
      <c r="X5" t="s">
        <v>71</v>
      </c>
    </row>
    <row r="6" spans="1:24" x14ac:dyDescent="0.35">
      <c r="A6" t="s">
        <v>10</v>
      </c>
      <c r="B6" t="s">
        <v>12</v>
      </c>
      <c r="C6">
        <v>8.15</v>
      </c>
      <c r="D6">
        <v>7.98</v>
      </c>
      <c r="E6">
        <v>0.17</v>
      </c>
      <c r="F6">
        <v>2.13</v>
      </c>
      <c r="G6" t="s">
        <v>61</v>
      </c>
      <c r="I6" t="s">
        <v>68</v>
      </c>
      <c r="J6" s="4" cm="1">
        <f t="array" ref="J6" xml:space="preserve"> AVERAGE(_xlfn._xlws.FILTER(C:C,$G:$G=$I6))</f>
        <v>14.790645161290323</v>
      </c>
      <c r="K6" s="4" cm="1">
        <f t="array" ref="K6" xml:space="preserve"> AVERAGE(_xlfn._xlws.FILTER(D:D,$G:$G=$I6))</f>
        <v>15.738709677419356</v>
      </c>
      <c r="L6" s="4" cm="1">
        <f t="array" ref="L6" xml:space="preserve"> AVERAGE(_xlfn._xlws.FILTER(E:E,$G:$G=$I6))</f>
        <v>-0.94806451612903231</v>
      </c>
      <c r="M6" s="4" cm="1">
        <f t="array" ref="M6" xml:space="preserve"> AVERAGE(_xlfn._xlws.FILTER(F:F,$G:$G=$I6))</f>
        <v>-4.993548387096773</v>
      </c>
      <c r="N6" s="4">
        <f t="shared" si="0"/>
        <v>0.94806451612903231</v>
      </c>
      <c r="Q6" t="s">
        <v>5</v>
      </c>
      <c r="R6" t="s">
        <v>71</v>
      </c>
      <c r="S6" t="s">
        <v>20</v>
      </c>
      <c r="T6" t="s">
        <v>67</v>
      </c>
      <c r="U6" t="s">
        <v>33</v>
      </c>
      <c r="V6" t="s">
        <v>71</v>
      </c>
      <c r="W6" t="s">
        <v>45</v>
      </c>
      <c r="X6" t="s">
        <v>59</v>
      </c>
    </row>
    <row r="7" spans="1:24" x14ac:dyDescent="0.35">
      <c r="A7" t="s">
        <v>10</v>
      </c>
      <c r="B7" t="s">
        <v>13</v>
      </c>
      <c r="C7">
        <v>7.78</v>
      </c>
      <c r="D7">
        <v>12.11</v>
      </c>
      <c r="E7">
        <v>-4.33</v>
      </c>
      <c r="F7">
        <v>-35.76</v>
      </c>
      <c r="G7" t="s">
        <v>61</v>
      </c>
      <c r="Q7" t="s">
        <v>7</v>
      </c>
      <c r="R7" t="s">
        <v>58</v>
      </c>
      <c r="S7" t="s">
        <v>21</v>
      </c>
      <c r="T7" t="s">
        <v>58</v>
      </c>
      <c r="U7" t="s">
        <v>72</v>
      </c>
      <c r="V7" t="s">
        <v>58</v>
      </c>
      <c r="W7" t="s">
        <v>47</v>
      </c>
      <c r="X7" t="s">
        <v>59</v>
      </c>
    </row>
    <row r="8" spans="1:24" x14ac:dyDescent="0.35">
      <c r="A8" t="s">
        <v>14</v>
      </c>
      <c r="B8" t="s">
        <v>6</v>
      </c>
      <c r="C8">
        <v>58.83</v>
      </c>
      <c r="D8">
        <v>62.79</v>
      </c>
      <c r="E8">
        <v>-3.96</v>
      </c>
      <c r="F8">
        <v>-6.31</v>
      </c>
      <c r="G8" t="s">
        <v>63</v>
      </c>
      <c r="Q8" t="s">
        <v>9</v>
      </c>
      <c r="R8" t="s">
        <v>58</v>
      </c>
      <c r="S8" t="s">
        <v>23</v>
      </c>
      <c r="T8" t="s">
        <v>71</v>
      </c>
      <c r="U8" t="s">
        <v>55</v>
      </c>
      <c r="V8" t="s">
        <v>58</v>
      </c>
      <c r="W8" t="s">
        <v>48</v>
      </c>
      <c r="X8" t="s">
        <v>59</v>
      </c>
    </row>
    <row r="9" spans="1:24" x14ac:dyDescent="0.35">
      <c r="A9" t="s">
        <v>15</v>
      </c>
      <c r="B9" t="s">
        <v>6</v>
      </c>
      <c r="C9">
        <v>25.3</v>
      </c>
      <c r="D9">
        <v>52.09</v>
      </c>
      <c r="E9">
        <v>-26.79</v>
      </c>
      <c r="F9">
        <v>-51.43</v>
      </c>
      <c r="G9" t="s">
        <v>63</v>
      </c>
      <c r="Q9" t="s">
        <v>10</v>
      </c>
      <c r="R9" t="s">
        <v>71</v>
      </c>
      <c r="S9" t="s">
        <v>26</v>
      </c>
      <c r="T9" t="s">
        <v>71</v>
      </c>
      <c r="U9" t="s">
        <v>36</v>
      </c>
      <c r="V9" t="s">
        <v>69</v>
      </c>
      <c r="W9" t="s">
        <v>49</v>
      </c>
      <c r="X9" t="s">
        <v>71</v>
      </c>
    </row>
    <row r="10" spans="1:24" x14ac:dyDescent="0.35">
      <c r="A10" t="s">
        <v>16</v>
      </c>
      <c r="B10" t="s">
        <v>6</v>
      </c>
      <c r="C10">
        <v>21.89</v>
      </c>
      <c r="D10">
        <v>36.130000000000003</v>
      </c>
      <c r="E10">
        <v>-14.24</v>
      </c>
      <c r="F10">
        <v>-39.409999999999997</v>
      </c>
      <c r="G10" t="s">
        <v>62</v>
      </c>
      <c r="Q10" t="s">
        <v>14</v>
      </c>
      <c r="R10" t="s">
        <v>59</v>
      </c>
      <c r="S10" t="s">
        <v>27</v>
      </c>
      <c r="T10" t="s">
        <v>58</v>
      </c>
      <c r="U10" t="s">
        <v>37</v>
      </c>
      <c r="V10" t="s">
        <v>71</v>
      </c>
      <c r="W10" t="s">
        <v>50</v>
      </c>
      <c r="X10" t="s">
        <v>59</v>
      </c>
    </row>
    <row r="11" spans="1:24" x14ac:dyDescent="0.35">
      <c r="A11" t="s">
        <v>17</v>
      </c>
      <c r="B11" t="s">
        <v>6</v>
      </c>
      <c r="C11">
        <v>30.51</v>
      </c>
      <c r="D11">
        <v>33.97</v>
      </c>
      <c r="E11">
        <v>-3.46</v>
      </c>
      <c r="F11">
        <v>-10.19</v>
      </c>
      <c r="G11" t="s">
        <v>61</v>
      </c>
      <c r="Q11" t="s">
        <v>15</v>
      </c>
      <c r="R11" t="s">
        <v>59</v>
      </c>
      <c r="S11" t="s">
        <v>28</v>
      </c>
      <c r="T11" t="s">
        <v>58</v>
      </c>
      <c r="U11" t="s">
        <v>38</v>
      </c>
      <c r="V11" t="s">
        <v>58</v>
      </c>
      <c r="W11" t="s">
        <v>51</v>
      </c>
      <c r="X11" t="s">
        <v>58</v>
      </c>
    </row>
    <row r="12" spans="1:24" x14ac:dyDescent="0.35">
      <c r="A12" t="s">
        <v>18</v>
      </c>
      <c r="B12" t="s">
        <v>6</v>
      </c>
      <c r="C12">
        <v>75.260000000000005</v>
      </c>
      <c r="D12">
        <v>86.16</v>
      </c>
      <c r="E12">
        <v>-10.9</v>
      </c>
      <c r="F12">
        <v>-12.65</v>
      </c>
      <c r="G12" t="s">
        <v>63</v>
      </c>
      <c r="Q12" t="s">
        <v>16</v>
      </c>
      <c r="R12" t="s">
        <v>58</v>
      </c>
      <c r="S12" t="s">
        <v>29</v>
      </c>
      <c r="T12" t="s">
        <v>59</v>
      </c>
      <c r="U12" t="s">
        <v>39</v>
      </c>
      <c r="V12" t="s">
        <v>59</v>
      </c>
      <c r="W12" t="s">
        <v>52</v>
      </c>
      <c r="X12" t="s">
        <v>59</v>
      </c>
    </row>
    <row r="13" spans="1:24" x14ac:dyDescent="0.35">
      <c r="A13" t="s">
        <v>19</v>
      </c>
      <c r="B13" t="s">
        <v>6</v>
      </c>
      <c r="C13">
        <v>24.4</v>
      </c>
      <c r="D13">
        <v>27.94</v>
      </c>
      <c r="E13">
        <v>-3.54</v>
      </c>
      <c r="F13">
        <v>-12.67</v>
      </c>
      <c r="G13" t="s">
        <v>63</v>
      </c>
      <c r="Q13" t="s">
        <v>17</v>
      </c>
      <c r="R13" t="s">
        <v>71</v>
      </c>
      <c r="S13" t="s">
        <v>30</v>
      </c>
      <c r="T13" t="s">
        <v>71</v>
      </c>
      <c r="U13" t="s">
        <v>41</v>
      </c>
      <c r="V13" t="s">
        <v>58</v>
      </c>
      <c r="W13" t="s">
        <v>66</v>
      </c>
      <c r="X13" t="s">
        <v>71</v>
      </c>
    </row>
    <row r="14" spans="1:24" x14ac:dyDescent="0.35">
      <c r="A14" t="s">
        <v>20</v>
      </c>
      <c r="B14" t="s">
        <v>6</v>
      </c>
      <c r="C14">
        <v>215.36</v>
      </c>
      <c r="D14">
        <v>222.92</v>
      </c>
      <c r="E14">
        <v>-7.56</v>
      </c>
      <c r="F14">
        <v>-3.39</v>
      </c>
      <c r="G14" t="s">
        <v>64</v>
      </c>
      <c r="Q14" t="s">
        <v>18</v>
      </c>
      <c r="R14" t="s">
        <v>59</v>
      </c>
      <c r="S14" t="s">
        <v>31</v>
      </c>
      <c r="T14" t="s">
        <v>71</v>
      </c>
      <c r="U14" t="s">
        <v>42</v>
      </c>
      <c r="V14" t="s">
        <v>58</v>
      </c>
      <c r="W14" t="s">
        <v>54</v>
      </c>
      <c r="X14" t="s">
        <v>71</v>
      </c>
    </row>
    <row r="15" spans="1:24" x14ac:dyDescent="0.35">
      <c r="A15" t="s">
        <v>21</v>
      </c>
      <c r="B15" t="s">
        <v>22</v>
      </c>
      <c r="C15">
        <v>13.33</v>
      </c>
      <c r="D15">
        <v>24.87</v>
      </c>
      <c r="E15">
        <v>-11.54</v>
      </c>
      <c r="F15">
        <v>-46.4</v>
      </c>
      <c r="G15" t="s">
        <v>62</v>
      </c>
    </row>
    <row r="16" spans="1:24" x14ac:dyDescent="0.35">
      <c r="A16" t="s">
        <v>23</v>
      </c>
      <c r="B16" t="s">
        <v>11</v>
      </c>
      <c r="C16">
        <v>8.1199999999999992</v>
      </c>
      <c r="D16">
        <v>8.93</v>
      </c>
      <c r="E16">
        <v>-0.81</v>
      </c>
      <c r="F16">
        <v>-9.07</v>
      </c>
      <c r="G16" t="s">
        <v>61</v>
      </c>
    </row>
    <row r="17" spans="1:7" x14ac:dyDescent="0.35">
      <c r="A17" t="s">
        <v>23</v>
      </c>
      <c r="B17" t="s">
        <v>6</v>
      </c>
      <c r="C17">
        <v>10.93</v>
      </c>
      <c r="D17">
        <v>11.08</v>
      </c>
      <c r="E17">
        <v>-0.15</v>
      </c>
      <c r="F17">
        <v>-1.35</v>
      </c>
      <c r="G17" t="s">
        <v>61</v>
      </c>
    </row>
    <row r="18" spans="1:7" x14ac:dyDescent="0.35">
      <c r="A18" t="s">
        <v>23</v>
      </c>
      <c r="B18" t="s">
        <v>12</v>
      </c>
      <c r="C18">
        <v>4.88</v>
      </c>
      <c r="D18">
        <v>6.97</v>
      </c>
      <c r="E18">
        <v>-2.09</v>
      </c>
      <c r="F18">
        <v>-29.99</v>
      </c>
      <c r="G18" t="s">
        <v>61</v>
      </c>
    </row>
    <row r="19" spans="1:7" x14ac:dyDescent="0.35">
      <c r="A19" t="s">
        <v>23</v>
      </c>
      <c r="B19" t="s">
        <v>24</v>
      </c>
      <c r="C19">
        <v>10.84</v>
      </c>
      <c r="D19">
        <v>12.98</v>
      </c>
      <c r="E19">
        <v>-2.14</v>
      </c>
      <c r="F19">
        <v>-16.489999999999998</v>
      </c>
      <c r="G19" t="s">
        <v>61</v>
      </c>
    </row>
    <row r="20" spans="1:7" x14ac:dyDescent="0.35">
      <c r="A20" t="s">
        <v>23</v>
      </c>
      <c r="B20" t="s">
        <v>8</v>
      </c>
      <c r="C20">
        <v>6.6</v>
      </c>
      <c r="D20">
        <v>4.8</v>
      </c>
      <c r="E20">
        <v>1.8</v>
      </c>
      <c r="F20">
        <v>37.5</v>
      </c>
      <c r="G20" t="s">
        <v>61</v>
      </c>
    </row>
    <row r="21" spans="1:7" x14ac:dyDescent="0.35">
      <c r="A21" t="s">
        <v>23</v>
      </c>
      <c r="B21" t="s">
        <v>25</v>
      </c>
      <c r="C21">
        <v>6.01</v>
      </c>
      <c r="D21">
        <v>5.45</v>
      </c>
      <c r="E21">
        <v>0.56000000000000005</v>
      </c>
      <c r="F21">
        <v>10.28</v>
      </c>
      <c r="G21" t="s">
        <v>61</v>
      </c>
    </row>
    <row r="22" spans="1:7" x14ac:dyDescent="0.35">
      <c r="A22" t="s">
        <v>23</v>
      </c>
      <c r="B22" t="s">
        <v>13</v>
      </c>
      <c r="C22">
        <v>6.22</v>
      </c>
      <c r="D22">
        <v>7.33</v>
      </c>
      <c r="E22">
        <v>-1.1100000000000001</v>
      </c>
      <c r="F22">
        <v>-15.14</v>
      </c>
      <c r="G22" t="s">
        <v>61</v>
      </c>
    </row>
    <row r="23" spans="1:7" x14ac:dyDescent="0.35">
      <c r="A23" t="s">
        <v>26</v>
      </c>
      <c r="B23" t="s">
        <v>6</v>
      </c>
      <c r="C23">
        <v>13.04</v>
      </c>
      <c r="D23">
        <v>12.78</v>
      </c>
      <c r="E23">
        <v>0.26</v>
      </c>
      <c r="F23">
        <v>2.0299999999999998</v>
      </c>
      <c r="G23" t="s">
        <v>61</v>
      </c>
    </row>
    <row r="24" spans="1:7" x14ac:dyDescent="0.35">
      <c r="A24" t="s">
        <v>27</v>
      </c>
      <c r="B24" t="s">
        <v>6</v>
      </c>
      <c r="C24">
        <v>71.290000000000006</v>
      </c>
      <c r="D24">
        <v>80.42</v>
      </c>
      <c r="E24">
        <v>-9.1300000000000008</v>
      </c>
      <c r="F24">
        <v>-11.35</v>
      </c>
      <c r="G24" t="s">
        <v>62</v>
      </c>
    </row>
    <row r="25" spans="1:7" x14ac:dyDescent="0.35">
      <c r="A25" t="s">
        <v>28</v>
      </c>
      <c r="B25" t="s">
        <v>6</v>
      </c>
      <c r="C25">
        <v>62.6</v>
      </c>
      <c r="D25">
        <v>80.3</v>
      </c>
      <c r="E25">
        <v>-17.7</v>
      </c>
      <c r="F25">
        <v>-22.04</v>
      </c>
      <c r="G25" t="s">
        <v>62</v>
      </c>
    </row>
    <row r="26" spans="1:7" x14ac:dyDescent="0.35">
      <c r="A26" t="s">
        <v>29</v>
      </c>
      <c r="B26" t="s">
        <v>11</v>
      </c>
      <c r="C26">
        <v>22.93</v>
      </c>
      <c r="D26">
        <v>24.62</v>
      </c>
      <c r="E26">
        <v>-1.69</v>
      </c>
      <c r="F26">
        <v>-6.86</v>
      </c>
      <c r="G26" t="s">
        <v>63</v>
      </c>
    </row>
    <row r="27" spans="1:7" x14ac:dyDescent="0.35">
      <c r="A27" t="s">
        <v>29</v>
      </c>
      <c r="B27" t="s">
        <v>12</v>
      </c>
      <c r="C27">
        <v>13.96</v>
      </c>
      <c r="D27">
        <v>15.79</v>
      </c>
      <c r="E27">
        <v>-1.83</v>
      </c>
      <c r="F27">
        <v>-11.59</v>
      </c>
      <c r="G27" t="s">
        <v>63</v>
      </c>
    </row>
    <row r="28" spans="1:7" x14ac:dyDescent="0.35">
      <c r="A28" t="s">
        <v>30</v>
      </c>
      <c r="B28" t="s">
        <v>6</v>
      </c>
      <c r="C28">
        <v>13.56</v>
      </c>
      <c r="D28">
        <v>16.920000000000002</v>
      </c>
      <c r="E28">
        <v>-3.36</v>
      </c>
      <c r="F28">
        <v>-19.86</v>
      </c>
      <c r="G28" t="s">
        <v>61</v>
      </c>
    </row>
    <row r="29" spans="1:7" x14ac:dyDescent="0.35">
      <c r="A29" t="s">
        <v>31</v>
      </c>
      <c r="B29" t="s">
        <v>6</v>
      </c>
      <c r="C29">
        <v>13.43</v>
      </c>
      <c r="D29">
        <v>24.98</v>
      </c>
      <c r="E29">
        <v>-11.55</v>
      </c>
      <c r="F29">
        <v>-46.24</v>
      </c>
      <c r="G29" t="s">
        <v>61</v>
      </c>
    </row>
    <row r="30" spans="1:7" x14ac:dyDescent="0.35">
      <c r="A30" t="s">
        <v>32</v>
      </c>
      <c r="B30" t="s">
        <v>6</v>
      </c>
      <c r="C30">
        <v>50.45</v>
      </c>
      <c r="D30">
        <v>65.88</v>
      </c>
      <c r="E30">
        <v>-15.43</v>
      </c>
      <c r="F30">
        <v>-23.42</v>
      </c>
      <c r="G30" t="s">
        <v>62</v>
      </c>
    </row>
    <row r="31" spans="1:7" x14ac:dyDescent="0.35">
      <c r="A31" t="s">
        <v>33</v>
      </c>
      <c r="B31" t="s">
        <v>6</v>
      </c>
      <c r="C31">
        <v>12.65</v>
      </c>
      <c r="D31">
        <v>11.68</v>
      </c>
      <c r="E31">
        <v>0.97</v>
      </c>
      <c r="F31">
        <v>8.3000000000000007</v>
      </c>
      <c r="G31" t="s">
        <v>61</v>
      </c>
    </row>
    <row r="32" spans="1:7" x14ac:dyDescent="0.35">
      <c r="A32" t="s">
        <v>34</v>
      </c>
      <c r="B32" t="s">
        <v>22</v>
      </c>
      <c r="C32">
        <v>13.56</v>
      </c>
      <c r="D32">
        <v>35.33</v>
      </c>
      <c r="E32">
        <v>-21.77</v>
      </c>
      <c r="F32">
        <v>-61.62</v>
      </c>
      <c r="G32" t="s">
        <v>62</v>
      </c>
    </row>
    <row r="33" spans="1:13" x14ac:dyDescent="0.35">
      <c r="A33" t="s">
        <v>55</v>
      </c>
      <c r="B33" t="s">
        <v>13</v>
      </c>
      <c r="C33">
        <v>15.78</v>
      </c>
      <c r="D33">
        <v>18.190000000000001</v>
      </c>
      <c r="E33">
        <v>-2.41</v>
      </c>
      <c r="F33">
        <v>-13.25</v>
      </c>
      <c r="G33" t="s">
        <v>62</v>
      </c>
      <c r="M33" s="2"/>
    </row>
    <row r="34" spans="1:13" x14ac:dyDescent="0.35">
      <c r="A34" t="s">
        <v>34</v>
      </c>
      <c r="B34" t="s">
        <v>6</v>
      </c>
      <c r="C34">
        <v>40.98</v>
      </c>
      <c r="D34">
        <v>62.89</v>
      </c>
      <c r="E34">
        <v>-21.91</v>
      </c>
      <c r="F34">
        <v>-34.840000000000003</v>
      </c>
      <c r="G34" t="s">
        <v>62</v>
      </c>
    </row>
    <row r="35" spans="1:13" x14ac:dyDescent="0.35">
      <c r="A35" t="s">
        <v>35</v>
      </c>
      <c r="B35" t="s">
        <v>6</v>
      </c>
      <c r="C35">
        <v>42.54</v>
      </c>
      <c r="D35">
        <v>57.54</v>
      </c>
      <c r="E35">
        <v>-15</v>
      </c>
      <c r="F35">
        <v>-26.07</v>
      </c>
      <c r="G35" t="s">
        <v>62</v>
      </c>
    </row>
    <row r="36" spans="1:13" x14ac:dyDescent="0.35">
      <c r="A36" t="s">
        <v>36</v>
      </c>
      <c r="B36" t="s">
        <v>6</v>
      </c>
      <c r="C36">
        <v>5.76</v>
      </c>
      <c r="D36">
        <v>6.88</v>
      </c>
      <c r="E36">
        <v>-1.1200000000000001</v>
      </c>
      <c r="F36">
        <v>-16.28</v>
      </c>
      <c r="G36" t="s">
        <v>65</v>
      </c>
    </row>
    <row r="37" spans="1:13" x14ac:dyDescent="0.35">
      <c r="A37" t="s">
        <v>37</v>
      </c>
      <c r="B37" t="s">
        <v>11</v>
      </c>
      <c r="C37">
        <v>8.4600000000000009</v>
      </c>
      <c r="D37">
        <v>10.35</v>
      </c>
      <c r="E37">
        <v>-1.89</v>
      </c>
      <c r="F37">
        <v>-18.260000000000002</v>
      </c>
      <c r="G37" t="s">
        <v>61</v>
      </c>
    </row>
    <row r="38" spans="1:13" x14ac:dyDescent="0.35">
      <c r="A38" t="s">
        <v>38</v>
      </c>
      <c r="B38" t="s">
        <v>6</v>
      </c>
      <c r="C38">
        <v>33.07</v>
      </c>
      <c r="D38">
        <v>32.96</v>
      </c>
      <c r="E38">
        <v>0.11</v>
      </c>
      <c r="F38">
        <v>0.33</v>
      </c>
      <c r="G38" t="s">
        <v>62</v>
      </c>
    </row>
    <row r="39" spans="1:13" x14ac:dyDescent="0.35">
      <c r="A39" t="s">
        <v>39</v>
      </c>
      <c r="B39" t="s">
        <v>40</v>
      </c>
      <c r="C39">
        <v>54.3</v>
      </c>
      <c r="D39">
        <v>48.1</v>
      </c>
      <c r="E39">
        <v>6.2</v>
      </c>
      <c r="F39">
        <v>12.89</v>
      </c>
      <c r="G39" t="s">
        <v>63</v>
      </c>
    </row>
    <row r="40" spans="1:13" x14ac:dyDescent="0.35">
      <c r="A40" t="s">
        <v>41</v>
      </c>
      <c r="B40" t="s">
        <v>6</v>
      </c>
      <c r="C40">
        <v>70.91</v>
      </c>
      <c r="D40">
        <v>94.56</v>
      </c>
      <c r="E40">
        <v>-23.65</v>
      </c>
      <c r="F40">
        <v>-25.01</v>
      </c>
      <c r="G40" t="s">
        <v>62</v>
      </c>
    </row>
    <row r="41" spans="1:13" x14ac:dyDescent="0.35">
      <c r="A41" t="s">
        <v>42</v>
      </c>
      <c r="B41" t="s">
        <v>6</v>
      </c>
      <c r="C41">
        <v>22.87</v>
      </c>
      <c r="D41">
        <v>32.450000000000003</v>
      </c>
      <c r="E41">
        <v>-9.58</v>
      </c>
      <c r="F41">
        <v>-29.52</v>
      </c>
      <c r="G41" t="s">
        <v>62</v>
      </c>
    </row>
    <row r="42" spans="1:13" x14ac:dyDescent="0.35">
      <c r="A42" t="s">
        <v>43</v>
      </c>
      <c r="B42" t="s">
        <v>6</v>
      </c>
      <c r="C42">
        <v>12.48</v>
      </c>
      <c r="D42">
        <v>20.43</v>
      </c>
      <c r="E42">
        <v>-7.95</v>
      </c>
      <c r="F42">
        <v>-38.909999999999997</v>
      </c>
      <c r="G42" t="s">
        <v>61</v>
      </c>
    </row>
    <row r="43" spans="1:13" x14ac:dyDescent="0.35">
      <c r="A43" t="s">
        <v>43</v>
      </c>
      <c r="B43" t="s">
        <v>44</v>
      </c>
      <c r="C43">
        <v>19.850000000000001</v>
      </c>
      <c r="D43">
        <v>22.32</v>
      </c>
      <c r="E43">
        <v>-2.4700000000000002</v>
      </c>
      <c r="F43">
        <v>-11.07</v>
      </c>
      <c r="G43" t="s">
        <v>61</v>
      </c>
    </row>
    <row r="44" spans="1:13" x14ac:dyDescent="0.35">
      <c r="A44" t="s">
        <v>45</v>
      </c>
      <c r="B44" t="s">
        <v>46</v>
      </c>
      <c r="C44">
        <v>55.18</v>
      </c>
      <c r="D44">
        <v>66.87</v>
      </c>
      <c r="E44">
        <v>-11.69</v>
      </c>
      <c r="F44">
        <v>-17.48</v>
      </c>
      <c r="G44" t="s">
        <v>63</v>
      </c>
    </row>
    <row r="45" spans="1:13" x14ac:dyDescent="0.35">
      <c r="A45" t="s">
        <v>47</v>
      </c>
      <c r="B45" t="s">
        <v>6</v>
      </c>
      <c r="C45">
        <v>45.99</v>
      </c>
      <c r="D45">
        <v>66.66</v>
      </c>
      <c r="E45">
        <v>-20.67</v>
      </c>
      <c r="F45">
        <v>-31.01</v>
      </c>
      <c r="G45" t="s">
        <v>63</v>
      </c>
    </row>
    <row r="46" spans="1:13" x14ac:dyDescent="0.35">
      <c r="A46" t="s">
        <v>48</v>
      </c>
      <c r="B46" t="s">
        <v>6</v>
      </c>
      <c r="C46">
        <v>28.38</v>
      </c>
      <c r="D46">
        <v>31.16</v>
      </c>
      <c r="E46">
        <v>-2.78</v>
      </c>
      <c r="F46">
        <v>-8.92</v>
      </c>
      <c r="G46" t="s">
        <v>63</v>
      </c>
    </row>
    <row r="47" spans="1:13" x14ac:dyDescent="0.35">
      <c r="A47" t="s">
        <v>49</v>
      </c>
      <c r="B47" t="s">
        <v>6</v>
      </c>
      <c r="C47">
        <v>16.07</v>
      </c>
      <c r="D47">
        <v>20.48</v>
      </c>
      <c r="E47">
        <v>-4.41</v>
      </c>
      <c r="F47">
        <v>-21.53</v>
      </c>
      <c r="G47" t="s">
        <v>61</v>
      </c>
    </row>
    <row r="48" spans="1:13" x14ac:dyDescent="0.35">
      <c r="A48" t="s">
        <v>50</v>
      </c>
      <c r="B48" t="s">
        <v>6</v>
      </c>
      <c r="C48">
        <v>72.37</v>
      </c>
      <c r="D48">
        <v>82.25</v>
      </c>
      <c r="E48">
        <v>-9.8800000000000008</v>
      </c>
      <c r="F48">
        <v>-12.01</v>
      </c>
      <c r="G48" t="s">
        <v>63</v>
      </c>
    </row>
    <row r="49" spans="1:7" x14ac:dyDescent="0.35">
      <c r="A49" t="s">
        <v>51</v>
      </c>
      <c r="B49" t="s">
        <v>6</v>
      </c>
      <c r="C49">
        <v>24.35</v>
      </c>
      <c r="D49">
        <v>30.15</v>
      </c>
      <c r="E49">
        <v>-5.8</v>
      </c>
      <c r="F49">
        <v>-19.239999999999998</v>
      </c>
      <c r="G49" t="s">
        <v>62</v>
      </c>
    </row>
    <row r="50" spans="1:7" x14ac:dyDescent="0.35">
      <c r="A50" t="s">
        <v>52</v>
      </c>
      <c r="B50" t="s">
        <v>6</v>
      </c>
      <c r="C50">
        <v>26.23</v>
      </c>
      <c r="D50">
        <v>34.869999999999997</v>
      </c>
      <c r="E50">
        <v>-8.64</v>
      </c>
      <c r="F50">
        <v>-24.78</v>
      </c>
      <c r="G50" t="s">
        <v>63</v>
      </c>
    </row>
    <row r="51" spans="1:7" x14ac:dyDescent="0.35">
      <c r="A51" t="s">
        <v>53</v>
      </c>
      <c r="B51" t="s">
        <v>40</v>
      </c>
      <c r="C51">
        <v>27.78</v>
      </c>
      <c r="D51">
        <v>22.02</v>
      </c>
      <c r="E51">
        <v>5.76</v>
      </c>
      <c r="F51">
        <v>26.16</v>
      </c>
      <c r="G51" t="s">
        <v>61</v>
      </c>
    </row>
    <row r="52" spans="1:7" x14ac:dyDescent="0.35">
      <c r="A52" t="s">
        <v>53</v>
      </c>
      <c r="B52" t="s">
        <v>46</v>
      </c>
      <c r="C52">
        <v>35.979999999999997</v>
      </c>
      <c r="D52">
        <v>42.91</v>
      </c>
      <c r="E52">
        <v>-6.93</v>
      </c>
      <c r="F52">
        <v>-16.149999999999999</v>
      </c>
      <c r="G52" t="s">
        <v>61</v>
      </c>
    </row>
    <row r="53" spans="1:7" x14ac:dyDescent="0.35">
      <c r="A53" t="s">
        <v>53</v>
      </c>
      <c r="B53" t="s">
        <v>24</v>
      </c>
      <c r="C53">
        <v>24.94</v>
      </c>
      <c r="D53">
        <v>21.34</v>
      </c>
      <c r="E53">
        <v>3.6</v>
      </c>
      <c r="F53">
        <v>16.87</v>
      </c>
      <c r="G53" t="s">
        <v>61</v>
      </c>
    </row>
    <row r="54" spans="1:7" x14ac:dyDescent="0.35">
      <c r="A54" t="s">
        <v>54</v>
      </c>
      <c r="B54" t="s">
        <v>11</v>
      </c>
      <c r="C54">
        <v>9.31</v>
      </c>
      <c r="D54">
        <v>14.08</v>
      </c>
      <c r="E54">
        <v>-4.7699999999999996</v>
      </c>
      <c r="F54">
        <v>-33.880000000000003</v>
      </c>
      <c r="G54" t="s">
        <v>61</v>
      </c>
    </row>
    <row r="55" spans="1:7" x14ac:dyDescent="0.35">
      <c r="A55" t="s">
        <v>54</v>
      </c>
      <c r="B55" t="s">
        <v>40</v>
      </c>
      <c r="C55">
        <v>13.48</v>
      </c>
      <c r="D55">
        <v>11.47</v>
      </c>
      <c r="E55">
        <v>2.0099999999999998</v>
      </c>
      <c r="F55">
        <v>17.52</v>
      </c>
      <c r="G55" t="s">
        <v>61</v>
      </c>
    </row>
    <row r="56" spans="1:7" x14ac:dyDescent="0.35">
      <c r="A56" t="s">
        <v>54</v>
      </c>
      <c r="B56" t="s">
        <v>46</v>
      </c>
      <c r="C56">
        <v>43.25</v>
      </c>
      <c r="D56">
        <v>23.22</v>
      </c>
      <c r="E56">
        <v>20.03</v>
      </c>
      <c r="F56">
        <v>86.26</v>
      </c>
      <c r="G56" t="s">
        <v>61</v>
      </c>
    </row>
    <row r="57" spans="1:7" x14ac:dyDescent="0.35">
      <c r="A57" t="s">
        <v>54</v>
      </c>
      <c r="B57" t="s">
        <v>6</v>
      </c>
      <c r="C57">
        <v>20.3</v>
      </c>
      <c r="D57">
        <v>22.14</v>
      </c>
      <c r="E57">
        <v>-1.84</v>
      </c>
      <c r="F57">
        <v>-8.31</v>
      </c>
      <c r="G57" t="s">
        <v>61</v>
      </c>
    </row>
    <row r="58" spans="1:7" x14ac:dyDescent="0.35">
      <c r="A58" t="s">
        <v>54</v>
      </c>
      <c r="B58" t="s">
        <v>12</v>
      </c>
      <c r="C58">
        <v>10.09</v>
      </c>
      <c r="D58">
        <v>9.1199999999999992</v>
      </c>
      <c r="E58">
        <v>0.97</v>
      </c>
      <c r="F58">
        <v>10.64</v>
      </c>
      <c r="G58" t="s">
        <v>61</v>
      </c>
    </row>
    <row r="59" spans="1:7" x14ac:dyDescent="0.35">
      <c r="A59" t="s">
        <v>54</v>
      </c>
      <c r="B59" t="s">
        <v>24</v>
      </c>
      <c r="C59">
        <v>22.33</v>
      </c>
      <c r="D59">
        <v>21.73</v>
      </c>
      <c r="E59">
        <v>0.6</v>
      </c>
      <c r="F59">
        <v>2.76</v>
      </c>
      <c r="G59" t="s">
        <v>61</v>
      </c>
    </row>
    <row r="60" spans="1:7" x14ac:dyDescent="0.35">
      <c r="A60" t="s">
        <v>54</v>
      </c>
      <c r="B60" t="s">
        <v>25</v>
      </c>
      <c r="C60">
        <v>10.53</v>
      </c>
      <c r="D60">
        <v>9.01</v>
      </c>
      <c r="E60">
        <v>1.52</v>
      </c>
      <c r="F60">
        <v>16.87</v>
      </c>
      <c r="G60" t="s">
        <v>61</v>
      </c>
    </row>
    <row r="61" spans="1:7" x14ac:dyDescent="0.35">
      <c r="A61" t="s">
        <v>54</v>
      </c>
      <c r="B61" t="s">
        <v>13</v>
      </c>
      <c r="C61">
        <v>9.31</v>
      </c>
      <c r="D61">
        <v>10.71</v>
      </c>
      <c r="E61">
        <v>-1.4</v>
      </c>
      <c r="F61">
        <v>-13.07</v>
      </c>
      <c r="G61" t="s">
        <v>61</v>
      </c>
    </row>
    <row r="62" spans="1:7" x14ac:dyDescent="0.35">
      <c r="A62" t="s">
        <v>55</v>
      </c>
      <c r="B62" t="s">
        <v>22</v>
      </c>
      <c r="C62">
        <v>17.47</v>
      </c>
      <c r="D62">
        <v>32.35</v>
      </c>
      <c r="E62">
        <v>-14.88</v>
      </c>
      <c r="F62">
        <v>-46</v>
      </c>
      <c r="G62" t="s">
        <v>62</v>
      </c>
    </row>
    <row r="63" spans="1:7" x14ac:dyDescent="0.35">
      <c r="A63" t="s">
        <v>55</v>
      </c>
      <c r="B63" t="s">
        <v>40</v>
      </c>
      <c r="C63">
        <v>27.71</v>
      </c>
      <c r="D63">
        <v>21.29</v>
      </c>
      <c r="E63">
        <v>6.42</v>
      </c>
      <c r="F63">
        <v>30.16</v>
      </c>
      <c r="G63" t="s">
        <v>62</v>
      </c>
    </row>
    <row r="64" spans="1:7" x14ac:dyDescent="0.35">
      <c r="A64" t="s">
        <v>55</v>
      </c>
      <c r="B64" t="s">
        <v>6</v>
      </c>
      <c r="C64">
        <v>42.2</v>
      </c>
      <c r="D64">
        <v>42.47</v>
      </c>
      <c r="E64">
        <v>-0.27</v>
      </c>
      <c r="F64">
        <v>-0.64</v>
      </c>
      <c r="G64" t="s">
        <v>62</v>
      </c>
    </row>
    <row r="65" spans="1:6" x14ac:dyDescent="0.35">
      <c r="A65" s="2" t="s">
        <v>56</v>
      </c>
      <c r="B65" s="2"/>
      <c r="C65" s="2">
        <v>29.02</v>
      </c>
      <c r="D65" s="2">
        <v>34.1</v>
      </c>
      <c r="E65" s="2">
        <v>-5.09</v>
      </c>
      <c r="F65" s="2">
        <v>-11.84</v>
      </c>
    </row>
  </sheetData>
  <sortState xmlns:xlrd2="http://schemas.microsoft.com/office/spreadsheetml/2017/richdata2" ref="I2:M65">
    <sortCondition ref="L1:L65"/>
  </sortState>
  <pageMargins left="0.75" right="0.75" top="1" bottom="1" header="0.5" footer="0.5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Adrien BERTRAND</cp:lastModifiedBy>
  <dcterms:created xsi:type="dcterms:W3CDTF">2026-01-28T23:14:12Z</dcterms:created>
  <dcterms:modified xsi:type="dcterms:W3CDTF">2026-01-29T22:41:41Z</dcterms:modified>
</cp:coreProperties>
</file>